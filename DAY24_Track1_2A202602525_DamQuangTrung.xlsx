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 có</t>
        </is>
      </c>
      <c r="C5" s="122" t="inlineStr">
        <is>
          <t>Làm phiên bản 2; so sánh con số cũ và mới ở trang 3–5</t>
        </is>
      </c>
      <c r="D5" s="122" t="inlineStr">
        <is>
          <t>Dựng mới trên file này</t>
        </is>
      </c>
      <c r="E5" s="123" t="inlineStr">
        <is>
          <t>Giả định dùng số bản mẫu</t>
        </is>
      </c>
    </row>
    <row r="6" ht="33.75" customHeight="1" s="112">
      <c r="A6" s="122" t="inlineStr">
        <is>
          <t>Bảng giám sát agent: token, chi phí theo ngày (Ngày 13)</t>
        </is>
      </c>
      <c r="B6" s="123" t="inlineStr">
        <is>
          <t>Chưa có</t>
        </is>
      </c>
      <c r="C6" s="122" t="inlineStr">
        <is>
          <t>Lấy số lần gọi AI và token thật ở trang 1</t>
        </is>
      </c>
      <c r="D6" s="122" t="inlineStr">
        <is>
          <t>Chạy thử 5 câu hỏi, xem số token ở trang quản lý API (cách làm: trang 1, cột Gợi ý)</t>
        </is>
      </c>
      <c r="E6" s="123" t="inlineStr">
        <is>
          <t>Giả định dùng số bản mẫu</t>
        </is>
      </c>
    </row>
    <row r="7" ht="33.75" customHeight="1" s="112">
      <c r="A7" s="122" t="inlineStr">
        <is>
          <t>Báo cáo đánh giá chất lượng (Ngày 14 hoặc buổi đánh giá Track 1)</t>
        </is>
      </c>
      <c r="B7" s="123" t="inlineStr">
        <is>
          <t>Chưa có</t>
        </is>
      </c>
      <c r="C7" s="122" t="inlineStr">
        <is>
          <t>Tỷ lệ chưa đạt → tỷ lệ cần người kiểm tra ở trang 1</t>
        </is>
      </c>
      <c r="D7" s="122" t="inlineStr">
        <is>
          <t>Giả định 10–20%, ghi lý do</t>
        </is>
      </c>
      <c r="E7" s="123" t="inlineStr">
        <is>
          <t>Giả định dùng số bản mẫu</t>
        </is>
      </c>
    </row>
    <row r="8" ht="33.75" customHeight="1" s="112">
      <c r="A8" s="122" t="inlineStr">
        <is>
          <t>Phiếu bài tập 1 và bài về nhà một trang (Ngày 22)</t>
        </is>
      </c>
      <c r="B8" s="123" t="inlineStr">
        <is>
          <t>Chưa có</t>
        </is>
      </c>
      <c r="C8" s="122" t="inlineStr">
        <is>
          <t>Cách tính tiền, chi phí mỗi việc, giá đề xuất: chép vào trang 1–2 rồi soát lại</t>
        </is>
      </c>
      <c r="D8" s="122" t="inlineStr">
        <is>
          <t>Làm nhanh ở Nhiệm vụ 1–2 theo bản mẫu (cột Gợi ý ở trang 1–2)</t>
        </is>
      </c>
      <c r="E8" s="123" t="inlineStr">
        <is>
          <t>Giả định dùng số bản mẫu</t>
        </is>
      </c>
    </row>
    <row r="9" ht="33.75" customHeight="1" s="112">
      <c r="A9" s="122" t="inlineStr">
        <is>
          <t>Bảng theo dõi chỉ số và luật xử lý (Ngày 23)</t>
        </is>
      </c>
      <c r="B9" s="123" t="inlineStr">
        <is>
          <t>Chưa có</t>
        </is>
      </c>
      <c r="C9" s="122" t="inlineStr">
        <is>
          <t>Điền mức cảnh báo tự tính (trang 5, dòng 72–77) vào cột [TỰ TÍNH]</t>
        </is>
      </c>
      <c r="D9" s="122" t="inlineStr">
        <is>
          <t>Dùng bảng mức cảnh báo ở trang 5 làm khung</t>
        </is>
      </c>
      <c r="E9" s="123" t="inlineStr">
        <is>
          <t>Giả định dùng số bản mẫu</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Đề bài 2 — ChấmNhanh (chấm bài viết tiếng Anh 250-300 từ)</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 Góp vốn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Không · Tiền vay không phải doanh thu</t>
        </is>
      </c>
    </row>
    <row r="9" ht="30" customHeight="1" s="112">
      <c r="A9" s="126" t="n">
        <v>3</v>
      </c>
      <c r="B9" s="127" t="inlineStr">
        <is>
          <t>Mua máy chủ, trả tiền ngay</t>
        </is>
      </c>
      <c r="C9" s="128" t="n">
        <v>360</v>
      </c>
      <c r="D9" s="128" t="n"/>
      <c r="E9" s="128" t="n"/>
      <c r="F9" s="129" t="inlineStr">
        <is>
          <t>Dùng 36 tháng, khấu hao đều</t>
        </is>
      </c>
      <c r="G9" s="130" t="inlineStr">
        <is>
          <t>Không · Tài sản dùng lâu, ghi khấu hao</t>
        </is>
      </c>
    </row>
    <row r="10" ht="30" customHeight="1" s="112">
      <c r="A10" s="126" t="n">
        <v>4</v>
      </c>
      <c r="B10" s="127" t="inlineStr">
        <is>
          <t>Bán gói tháng cho cửa hàng nhỏ, thu tiền ngay</t>
        </is>
      </c>
      <c r="C10" s="128" t="n">
        <v>50</v>
      </c>
      <c r="D10" s="128" t="n">
        <v>80</v>
      </c>
      <c r="E10" s="128" t="n">
        <v>110</v>
      </c>
      <c r="F10" s="129" t="n"/>
      <c r="G10" s="130" t="inlineStr">
        <is>
          <t>Có · Doanh thu theo tháng cung cấp dịch vụ</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Có · Khách trả trước, ghi nhận theo tháng đã cung cấp (20/tháng)</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 Doanh thu tháng 2 khi nghiệm thu, tiền thu sau</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 Chi phí tháng phát sinh</t>
        </is>
      </c>
    </row>
    <row r="14" ht="30" customHeight="1" s="112">
      <c r="A14" s="126" t="n">
        <v>8</v>
      </c>
      <c r="B14" s="127" t="inlineStr">
        <is>
          <t>Người kiểm tra câu trả lời, trả trong tháng</t>
        </is>
      </c>
      <c r="C14" s="128" t="n">
        <v>10</v>
      </c>
      <c r="D14" s="128" t="n">
        <v>10</v>
      </c>
      <c r="E14" s="128" t="n">
        <v>10</v>
      </c>
      <c r="F14" s="129" t="n"/>
      <c r="G14" s="130" t="inlineStr">
        <is>
          <t>Có · Chi phí tháng phát sinh</t>
        </is>
      </c>
    </row>
    <row r="15" ht="30" customHeight="1" s="112">
      <c r="A15" s="126" t="n">
        <v>9</v>
      </c>
      <c r="B15" s="127" t="inlineStr">
        <is>
          <t>Lương đội phát triển và bán hàng, trả trong tháng</t>
        </is>
      </c>
      <c r="C15" s="128" t="n">
        <v>120</v>
      </c>
      <c r="D15" s="128" t="n">
        <v>120</v>
      </c>
      <c r="E15" s="128" t="n">
        <v>120</v>
      </c>
      <c r="F15" s="129" t="n"/>
      <c r="G15" s="130" t="inlineStr">
        <is>
          <t>Có · Chi phí tháng phát sinh</t>
        </is>
      </c>
    </row>
    <row r="16" ht="30" customHeight="1" s="112">
      <c r="A16" s="126" t="n">
        <v>10</v>
      </c>
      <c r="B16" s="127" t="inlineStr">
        <is>
          <t>Thuê văn phòng, trả trong tháng</t>
        </is>
      </c>
      <c r="C16" s="128" t="n">
        <v>20</v>
      </c>
      <c r="D16" s="128" t="n">
        <v>20</v>
      </c>
      <c r="E16" s="128" t="n">
        <v>20</v>
      </c>
      <c r="F16" s="129" t="n"/>
      <c r="G16" s="130" t="inlineStr">
        <is>
          <t>Có · Chi phí tháng phát sinh</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 Thuế chỉ khi có lãi (lỗ lũy kế nên chưa có)</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t="n">
        <v>45</v>
      </c>
      <c r="D23" s="133" t="n">
        <v>155</v>
      </c>
      <c r="E23" s="133" t="n">
        <v>85</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t="n">
        <v>-95</v>
      </c>
      <c r="D25" s="133" t="n">
        <v>15</v>
      </c>
      <c r="E25" s="133" t="n">
        <v>-55</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t="n">
        <v>-105</v>
      </c>
      <c r="D27" s="133" t="n">
        <v>5</v>
      </c>
      <c r="E27" s="133" t="n">
        <v>-65</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t="n">
        <v>-108</v>
      </c>
      <c r="D29" s="133" t="n">
        <v>2</v>
      </c>
      <c r="E29" s="133" t="n">
        <v>-68</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t="n">
        <v>-108</v>
      </c>
      <c r="D31" s="133" t="n">
        <v>2</v>
      </c>
      <c r="E31" s="133" t="n">
        <v>-68</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t="n">
        <v>921</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f>SUM(C37:C40)</f>
        <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t="n">
        <v>180</v>
      </c>
    </row>
    <row r="45" ht="15" customHeight="1" s="112">
      <c r="B45" s="132" t="inlineStr">
        <is>
          <t>Vay ngân hàng</t>
        </is>
      </c>
      <c r="C45" s="133" t="n">
        <v>300</v>
      </c>
    </row>
    <row r="46" ht="15" customHeight="1" s="112">
      <c r="B46" s="135" t="inlineStr">
        <is>
          <t>Tổng nợ phải trả</t>
        </is>
      </c>
      <c r="C46" s="133">
        <f>SUM(C43:C45)</f>
        <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t="n">
        <v>-174</v>
      </c>
    </row>
    <row r="50" ht="15" customHeight="1" s="112">
      <c r="B50" s="135" t="inlineStr">
        <is>
          <t>Tổng vốn chủ sở hữu</t>
        </is>
      </c>
      <c r="C50" s="133">
        <f>SUM(C48:C49)</f>
        <v/>
      </c>
      <c r="G50" s="137">
        <f>IF(COUNT(C48:C50)&lt;3,"Chưa điền",IF(ABS(C50-SUM(C48:C49))&lt;0.01,"Đạt","Xem lại phép cộng"))</f>
        <v/>
      </c>
    </row>
    <row r="51" ht="15" customHeight="1" s="112">
      <c r="B51" s="132" t="inlineStr">
        <is>
          <t>Tổng nợ phải trả + vốn chủ sở hữu</t>
        </is>
      </c>
      <c r="C51" s="133">
        <f>C46+C50</f>
        <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t="n">
        <v>-174</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35</v>
      </c>
    </row>
    <row r="61" ht="16.5" customHeight="1" s="112">
      <c r="B61" s="142" t="inlineStr">
        <is>
          <t>Cộng: doanh thu chưa thực hiện tăng thêm (khách trả trước) → số dương</t>
        </is>
      </c>
      <c r="C61" s="133" t="n">
        <v>180</v>
      </c>
    </row>
    <row r="62" ht="15" customHeight="1" s="112">
      <c r="B62" s="135" t="inlineStr">
        <is>
          <t>Dòng tiền từ hoạt động kinh doanh</t>
        </is>
      </c>
      <c r="C62" s="133">
        <f>SUM(C57:C61)</f>
        <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t="n">
        <v>-360</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t="n">
        <v>1300</v>
      </c>
      <c r="G67" s="137">
        <f>IF(COUNT(C65:C67)&lt;3,"Chưa điền",IF(ABS(C67-SUM(C65:C66))&lt;0.01,"Đạt","Xem lại phép cộng"))</f>
        <v/>
      </c>
    </row>
    <row r="68" ht="15" customHeight="1" s="112">
      <c r="B68" s="135" t="inlineStr">
        <is>
          <t>Tiền tăng thêm trong kỳ</t>
        </is>
      </c>
      <c r="C68" s="133">
        <f>C62+C64+C67</f>
        <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f>C68+C69</f>
        <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Tháng 2 có lãi 2 triệu. Tiền mặt tháng đó tăng 950 triệu vì thu tiền góp vốn 1000 và vay 300, dù chi phí và mua máy chi ra nhiều.</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240 triệu ngân hàng X trả trước nằm ở "Doanh thu chưa thực hiện" 220 triệu. Không ghi hết vào doanh thu vì đã ghi nhận theo tháng cung cấp dịch vụ (chỉ 20 triệu/tháng).</t>
        </is>
      </c>
      <c r="D76" s="145" t="n"/>
      <c r="E76" s="145" t="n"/>
      <c r="F76" s="145" t="n"/>
      <c r="G76" s="146" t="n"/>
    </row>
    <row r="77" ht="48" customHeight="1" s="112">
      <c r="B77" s="142" t="inlineStr">
        <is>
          <t>3. Lỗ 174 triệu mà dòng tiền kinh doanh chỉ âm 19 triệu. Khoản nào bù vào? Có nên vui không?</t>
        </is>
      </c>
      <c r="C77" s="144" t="inlineStr">
        <is>
          <t>Lỗ 174 triệu nhưng dòng tiền kinh doanh chỉ âm 11 triệu vì: góp vốn 1000 + vay 300 + doanh thu chưa thực hiện 220 bù vào. Đó là tín hiệu tốt - công ty có tiền mặt dù lỗ.</t>
        </is>
      </c>
      <c r="D77" s="145" t="n"/>
      <c r="E77" s="145" t="n"/>
      <c r="F77" s="145" t="n"/>
      <c r="G77" s="146" t="n"/>
    </row>
    <row r="78" ht="48" customHeight="1" s="112">
      <c r="B78" s="142" t="inlineStr">
        <is>
          <t>4. (Xong sớm) Nếu từ tháng 4 mọi thứ giữ như tháng 3, công ty còn trụ được khoảng bao nhiêu tháng?</t>
        </is>
      </c>
      <c r="C78" s="144" t="n"/>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f>PV(C85/12,C84,-C83)</f>
        <v/>
      </c>
      <c r="G86" s="137">
        <f>IF(C86="","Chưa điền",IF(ABS(C86-PV(C85/12,C84,-C83))&lt;1,"Đạt","Xem lại"))</f>
        <v/>
      </c>
    </row>
    <row r="87" ht="15" customHeight="1" s="112">
      <c r="B87" s="132" t="inlineStr">
        <is>
          <t>Nên mua hay thuê? (chọn Mua hoặc Thuê trong danh sách)</t>
        </is>
      </c>
      <c r="C87" s="149" t="inlineStr">
        <is>
          <t>Thuê</t>
        </is>
      </c>
      <c r="G87" s="137">
        <f>IF(C87="","Chưa điền",IF(C87=IF(PV(C85/12,C84,-C83)&lt;C82,"Thuê","Mua"),"Đạt","Xem lại"))</f>
        <v/>
      </c>
    </row>
    <row r="88" ht="31.5" customHeight="1" s="112">
      <c r="B88" s="142" t="inlineStr">
        <is>
          <t>Nếu chi phí vốn chỉ 8%/năm: giá trị hiện tại của tiền thuê (gợi ý: =PV(0,08/12; C84; -C83))</t>
        </is>
      </c>
      <c r="C88" s="148">
        <f>PV(0.08/12,C84,-C83)</f>
        <v/>
      </c>
      <c r="G88" s="137">
        <f>IF(C88="","Chưa điền",IF(ABS(C88-PV(0.08/12,C84,-C83))&lt;1,"Đạt","Xem lại"))</f>
        <v/>
      </c>
    </row>
    <row r="89" ht="15" customHeight="1" s="112">
      <c r="B89" s="132" t="inlineStr">
        <is>
          <t>Khi đó nên mua hay thuê?</t>
        </is>
      </c>
      <c r="C89" s="149" t="inlineStr">
        <is>
          <t>Mua</t>
        </is>
      </c>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Chấm 1 bài viết tiếng Anh 250-300 từ theo 4 tiêu chí</t>
        </is>
      </c>
      <c r="C5" s="153" t="n"/>
      <c r="D5" s="154" t="inlineStr">
        <is>
          <t>Đề bài 2 — ChấmNhanh</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2</v>
      </c>
      <c r="C6" s="153" t="inlineStr">
        <is>
          <t>lần</t>
        </is>
      </c>
      <c r="D6" s="154" t="inlineStr">
        <is>
          <t>Giả định: 1 lần hiểu bài, 1 lần chấm điểm</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2000</v>
      </c>
      <c r="C7" s="153" t="inlineStr">
        <is>
          <t>token</t>
        </is>
      </c>
      <c r="D7" s="154" t="inlineStr">
        <is>
          <t>Câu lệnh hệ thống + bài viết + tiêu chí</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300</v>
      </c>
      <c r="C8" s="153" t="inlineStr">
        <is>
          <t>token</t>
        </is>
      </c>
      <c r="D8" s="154" t="inlineStr">
        <is>
          <t>Nhận xét ngắn 1-3 câu</t>
        </is>
      </c>
      <c r="E8" s="155" t="inlineStr">
        <is>
          <t>Độ dài câu trả lời, đếm bằng cách chạy thử. Bản mẫu: 300 (1–3 câu ngắn).</t>
        </is>
      </c>
    </row>
    <row r="9" ht="43.5" customHeight="1" s="112">
      <c r="A9" s="151" t="inlineStr">
        <is>
          <t>Giá token đầu vào</t>
        </is>
      </c>
      <c r="B9" s="156" t="n">
        <v>2</v>
      </c>
      <c r="C9" s="153" t="inlineStr">
        <is>
          <t>USD / 1 triệu token</t>
        </is>
      </c>
      <c r="D9" s="154" t="inlineStr">
        <is>
          <t>GPT-4o mini hoặc Claude Haiku 4.5 - 04/10/2026</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10</v>
      </c>
      <c r="C10" s="153" t="inlineStr">
        <is>
          <t>USD / 1 triệu token</t>
        </is>
      </c>
      <c r="D10" s="154" t="inlineStr">
        <is>
          <t>Mức Standard</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Vietcombank ngày 04/10/2026</t>
        </is>
      </c>
      <c r="E11" s="155" t="inlineStr">
        <is>
          <t>Tỷ giá bán ra Vietcombank ở trang 9 (26.170 đồng, ngày 04/10/2026) hoặc tra mới, ghi ngày. Bản mẫu: 26.000.</t>
        </is>
      </c>
    </row>
    <row r="12" ht="30" customHeight="1" s="112">
      <c r="A12" s="151" t="inlineStr">
        <is>
          <t>Tỷ lệ gọi lại khi lỗi</t>
        </is>
      </c>
      <c r="B12" s="157" t="n">
        <v>0.1</v>
      </c>
      <c r="C12" s="153" t="inlineStr">
        <is>
          <t>%</t>
        </is>
      </c>
      <c r="D12" s="154" t="inlineStr">
        <is>
          <t>Giả định: 10% bài cần chạy lại</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100</v>
      </c>
      <c r="C13" s="153" t="inlineStr">
        <is>
          <t>VND</t>
        </is>
      </c>
      <c r="D13" s="154" t="inlineStr">
        <is>
          <t>Giả định: 100 đồng/việc</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0.1</v>
      </c>
      <c r="C14" s="153" t="inlineStr">
        <is>
          <t>%</t>
        </is>
      </c>
      <c r="D14" s="154" t="inlineStr">
        <is>
          <t>Giả định: 10% bài cần kiểm tra</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1.5</v>
      </c>
      <c r="C15" s="153" t="inlineStr">
        <is>
          <t>phút</t>
        </is>
      </c>
      <c r="D15" s="154" t="inlineStr">
        <is>
          <t>Đọc và xác nhận điểm số</t>
        </is>
      </c>
      <c r="E15" s="155" t="inlineStr">
        <is>
          <t>Thời gian 1 người đọc và sửa 1 kết quả. Bản mẫu: 1,5 phút.</t>
        </is>
      </c>
    </row>
    <row r="16" ht="30" customHeight="1" s="112">
      <c r="A16" s="151" t="inlineStr">
        <is>
          <t>Chi phí nhân sự kiểm tra</t>
        </is>
      </c>
      <c r="B16" s="156" t="n">
        <v>60000</v>
      </c>
      <c r="C16" s="153" t="inlineStr">
        <is>
          <t>VND / giờ</t>
        </is>
      </c>
      <c r="D16" s="154" t="inlineStr">
        <is>
          <t>Lương tối thiểu vùng I + bảo hiểm</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60</v>
      </c>
      <c r="C17" s="153" t="inlineStr">
        <is>
          <t>VND</t>
        </is>
      </c>
      <c r="D17" s="154" t="inlineStr">
        <is>
          <t>Chạy bộ câu hỏi, gán nhãn</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30</v>
      </c>
      <c r="C18" s="153" t="inlineStr">
        <is>
          <t>VND</t>
        </is>
      </c>
      <c r="D18" s="154" t="inlineStr">
        <is>
          <t>Lưu nhật ký, bảo mật</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Nhân sự</t>
        </is>
      </c>
      <c r="C5" s="115" t="inlineStr">
        <is>
          <t>Phần mềm hay Nhân sự?</t>
        </is>
      </c>
      <c r="D5" s="164" t="inlineStr">
        <is>
          <t>Học sinh/sinh viên trả từ ngân sách học tập</t>
        </is>
      </c>
    </row>
    <row r="6" ht="63" customHeight="1" s="112">
      <c r="A6" s="122" t="inlineStr">
        <is>
          <t>Cách tính tiền đã chọn</t>
        </is>
      </c>
      <c r="B6" s="163" t="inlineStr">
        <is>
          <t>Theo người dùng (tài khoản)</t>
        </is>
      </c>
      <c r="C6" s="115" t="inlineStr">
        <is>
          <t>Bảng giá dưới luôn có dạng phí cố định + phí mỗi việc vượt hạn mức. Cách nhập cho từng cách tính tiền: dòng 35–40.</t>
        </is>
      </c>
      <c r="D6" s="164" t="inlineStr">
        <is>
          <t>Phổ biến cho sản phẩm học tập</t>
        </is>
      </c>
    </row>
    <row r="7" ht="48" customHeight="1" s="112">
      <c r="A7" s="122" t="inlineStr">
        <is>
          <t>Lý do chọn (hai câu hỏi: đo được kết quả? AI tự làm trọn?)</t>
        </is>
      </c>
      <c r="B7" s="163" t="inlineStr">
        <is>
          <t>1. Đo được kết quả: cải thiện điểm viết; 2. AI tự làm trọn: chấm tự động</t>
        </is>
      </c>
      <c r="D7" s="164" t="inlineStr">
        <is>
          <t>Phù hợp nhu cầu dùng nhiều lần</t>
        </is>
      </c>
    </row>
    <row r="8" ht="48" customHeight="1" s="112">
      <c r="A8" s="122" t="inlineStr">
        <is>
          <t>Neo giá so với cái gì?</t>
        </is>
      </c>
      <c r="B8" s="163" t="inlineStr">
        <is>
          <t>Lương giáo viên hoặc chi phí dạy kèm</t>
        </is>
      </c>
      <c r="C8" s="115" t="inlineStr">
        <is>
          <t>Lương hoặc chi phí thuê ngoài, không so với giá ChatGPT</t>
        </is>
      </c>
      <c r="D8" s="164" t="inlineStr">
        <is>
          <t>So với gia sư tiếng Anh</t>
        </is>
      </c>
    </row>
    <row r="9" ht="15" customHeight="1" s="112">
      <c r="A9" s="158" t="inlineStr">
        <is>
          <t>Phí cố định / khách / tháng</t>
        </is>
      </c>
      <c r="B9" s="165" t="n">
        <v>199000</v>
      </c>
      <c r="C9" s="111" t="inlineStr">
        <is>
          <t>VND</t>
        </is>
      </c>
      <c r="D9" s="164" t="inlineStr">
        <is>
          <t>Gói tháng hợp lý cho học sinh</t>
        </is>
      </c>
    </row>
    <row r="10" ht="15" customHeight="1" s="112">
      <c r="A10" s="158" t="inlineStr">
        <is>
          <t>Số việc đã gồm trong phí cố định</t>
        </is>
      </c>
      <c r="B10" s="165" t="n">
        <v>50</v>
      </c>
      <c r="C10" s="111" t="inlineStr">
        <is>
          <t>việc / tháng</t>
        </is>
      </c>
      <c r="D10" s="164" t="inlineStr">
        <is>
          <t>50 bài/tháng - đủ cho học sinh</t>
        </is>
      </c>
    </row>
    <row r="11" ht="15" customHeight="1" s="112">
      <c r="A11" s="158" t="inlineStr">
        <is>
          <t>Giá mỗi việc vượt hạn mức</t>
        </is>
      </c>
      <c r="B11" s="165" t="n">
        <v>3000</v>
      </c>
      <c r="C11" s="111" t="inlineStr">
        <is>
          <t>VND / việc</t>
        </is>
      </c>
      <c r="D11" s="164" t="inlineStr">
        <is>
          <t>3.000 đ/bài vượt hạn mức</t>
        </is>
      </c>
    </row>
    <row r="12" ht="31.5" customHeight="1" s="112">
      <c r="A12" s="122" t="inlineStr">
        <is>
          <t>Giá gói không giới hạn (để so sánh; thường = phí cố định dòng 9)</t>
        </is>
      </c>
      <c r="B12" s="165" t="n">
        <v>499000</v>
      </c>
      <c r="C12" s="111" t="inlineStr">
        <is>
          <t>VND / tháng</t>
        </is>
      </c>
      <c r="D12" s="164" t="inlineStr">
        <is>
          <t>Gói trọn gói so sánh</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0.8</v>
      </c>
      <c r="C15" s="168" t="n">
        <v>20</v>
      </c>
      <c r="D15" s="159">
        <f>B9+MAX(0,C15-B10)*B11</f>
        <v/>
      </c>
      <c r="E15" s="159">
        <f>C15*'1_Chi phí mỗi việc'!B24</f>
        <v/>
      </c>
      <c r="F15" s="161">
        <f>IFERROR((D15-E15)/D15,0)</f>
        <v/>
      </c>
      <c r="G15" s="159">
        <f>B12</f>
        <v/>
      </c>
      <c r="H15" s="161">
        <f>IFERROR((G15-E15)/G15,0)</f>
        <v/>
      </c>
      <c r="I15" s="164" t="inlineStr">
        <is>
          <t>Giả định: học sinh trung bình dùng 20 bài/tháng</t>
        </is>
      </c>
    </row>
    <row r="16" ht="15" customHeight="1" s="112">
      <c r="A16" s="158" t="inlineStr">
        <is>
          <t>Khách dùng nhiều</t>
        </is>
      </c>
      <c r="B16" s="167" t="n">
        <v>0.2</v>
      </c>
      <c r="C16" s="168" t="n">
        <v>100</v>
      </c>
      <c r="D16" s="159">
        <f>B9+MAX(0,C16-B10)*B11</f>
        <v/>
      </c>
      <c r="E16" s="159">
        <f>C16*'1_Chi phí mỗi việc'!B24</f>
        <v/>
      </c>
      <c r="F16" s="161">
        <f>IFERROR((D16-E16)/D16,0)</f>
        <v/>
      </c>
      <c r="G16" s="159">
        <f>B12</f>
        <v/>
      </c>
      <c r="H16" s="161">
        <f>IFERROR((G16-E16)/G16,0)</f>
        <v/>
      </c>
      <c r="I16" s="164" t="inlineStr">
        <is>
          <t>Giả định: học sinh năng động dùng 100 bài/tháng</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500000</v>
      </c>
      <c r="C26" s="132" t="inlineStr">
        <is>
          <t>VND / tháng</t>
        </is>
      </c>
      <c r="D26" s="149" t="inlineStr">
        <is>
          <t>Chi phí gia sư tiếng Anh ≈ 500.000 đ/tháng</t>
        </is>
      </c>
    </row>
    <row r="27" ht="15" customHeight="1" s="112">
      <c r="A27" s="132" t="inlineStr">
        <is>
          <t>Tỷ lệ chia doanh thu cho đối tác / kênh bán</t>
        </is>
      </c>
      <c r="B27" s="172" t="n">
        <v>0</v>
      </c>
      <c r="C27" s="132" t="inlineStr">
        <is>
          <t>% doanh thu</t>
        </is>
      </c>
      <c r="D27" s="149" t="inlineStr">
        <is>
          <t>Bán trực tiếp nên 0%</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Cơ sở = 1. Lạc quan, xấu: mặc định 1,1 và 0,8; sửa nếu có lý do</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n"/>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100</v>
      </c>
      <c r="D7" s="179">
        <f>C7*0.5</f>
        <v/>
      </c>
      <c r="E7" s="153" t="inlineStr">
        <is>
          <t>khách</t>
        </is>
      </c>
      <c r="F7" s="178" t="inlineStr">
        <is>
          <t>Giả định: 30 khách tháng đầu</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Giả định: 5%/tháng</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0.04</v>
      </c>
      <c r="D9" s="157">
        <f>C9*1.6</f>
        <v/>
      </c>
      <c r="E9" s="153" t="inlineStr">
        <is>
          <t>%</t>
        </is>
      </c>
      <c r="F9" s="178" t="inlineStr">
        <is>
          <t>Giả định: 5%/tháng</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800000</v>
      </c>
      <c r="D10" s="180">
        <f>C10*1.5</f>
        <v/>
      </c>
      <c r="E10" s="153" t="inlineStr">
        <is>
          <t>VND / khách</t>
        </is>
      </c>
      <c r="F10" s="178" t="inlineStr">
        <is>
          <t>Giả định: 1.5 triệu đ/khách</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100000000</v>
      </c>
      <c r="D11" s="180">
        <f>C11</f>
        <v/>
      </c>
      <c r="E11" s="153" t="inlineStr">
        <is>
          <t>VND / tháng</t>
        </is>
      </c>
      <c r="F11" s="178" t="inlineStr">
        <is>
          <t>Giả định: lương đội + văn phòng</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300000000</v>
      </c>
      <c r="D12" s="180">
        <f>C12</f>
        <v/>
      </c>
      <c r="E12" s="153" t="inlineStr">
        <is>
          <t>VND</t>
        </is>
      </c>
      <c r="F12" s="178" t="inlineStr">
        <is>
          <t>Giả định: 500 triệu ban đầu</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1500000000</v>
      </c>
      <c r="D13" s="180">
        <f>C13</f>
        <v/>
      </c>
      <c r="E13" s="153" t="inlineStr">
        <is>
          <t>VND</t>
        </is>
      </c>
      <c r="F13" s="178" t="inlineStr">
        <is>
          <t>Giả định: 2 tỷ vốn khởi động</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Giả định của lớp: chi phí vốn cho dự án rủi ro cao</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1. Quyet dinh: THU NGHIEM NHO - Co so tot, xau co ngu canh</t>
        </is>
      </c>
      <c r="B15" s="111" t="inlineStr">
        <is>
          <t>THỬ NGHIỆM NHỎ: NPV 24 tháng +472 triệu (IRR 49%/năm), LTV/CAC = 6,3. Cơ sở vững, kịch bản xấu vẫn có biên nhưng cần theo dõi churn. Quy mô: 1 trường · 100 học sinh · 4 tháng · vốn 1,5 tỷ. Nếu churn &gt; 7% trong 2 tháng liên tiếp: cắt 20% chi phí marketing, tạm dừng quảng cáo, cải thiện chất lượng. Điều kiện mở rộng: LTV/CAC &gt; 6, churn ≤ 4%, có ≥ 200 HS trong 6 tháng.</t>
        </is>
      </c>
    </row>
    <row r="17" ht="18.75" customHeight="1" s="112">
      <c r="A17" s="131" t="inlineStr">
        <is>
          <t>2. Giá bán và cách tính tiền đã chọn — vì sao khách chấp nhận mức đó?</t>
        </is>
      </c>
    </row>
    <row r="18" ht="48" customHeight="1" s="112">
      <c r="A18" s="163" t="inlineStr">
        <is>
          <t>2. Gia ban va cach tinh tien</t>
        </is>
      </c>
      <c r="B18" s="111" t="inlineStr">
        <is>
          <t>Gói kết hợp: 199.000 đ/tháng (50 bài) + 3.000 đ/bài vượt. Khách chấp nhận vì: (1) tiết kiệm 60-80% so với gia sư 500k-1tr/tháng; (2) chấm ngay thay vì đợi 1-2 ngày; (3) có 50 bài miễn phí/tháng để thử. Tỷ lệ AI/doanh thu khách dùng nhiều chỉ 21% - trong vùng an toàn &lt; 30%.</t>
        </is>
      </c>
    </row>
    <row r="20" ht="18.75" customHeight="1" s="112">
      <c r="A20" s="131" t="inlineStr">
        <is>
          <t>3. Biến số nguy hiểm nhất (theo bảng độ nhạy ở trang 5) và cách theo dõi.</t>
        </is>
      </c>
    </row>
    <row r="21" ht="48" customHeight="1" s="112">
      <c r="A21" s="163" t="inlineStr">
        <is>
          <t>3. Bien nguy hiem nhat va cach theo doi</t>
        </is>
      </c>
      <c r="B21" s="111" t="inlineStr">
        <is>
          <t>Tỷ lệ rời bỏ (churn) là biến nguy hiểm nhất. Nếu tăng từ 4% lên 7%/tháng, LTV giảm ~43% và NPV có thể âm. Cách đo hằng tuần: (1) số HS ngưng dùng ÷ tổng HS đang dùng; (2) phỏng vấn HS nghỉ sau 2 tháng đầu; (3) khảo sát mức hài lòng tháng. Người phụ trách: Product Manager. Cập nhật vào bảng Ngày 23 mỗi tuần.</t>
        </is>
      </c>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4. Luat xu ly</t>
        </is>
      </c>
      <c r="B24" s="111" t="inlineStr">
        <is>
          <t>NẾU tỷ lệ rời bỏ &gt; 7% TRONG 2 tháng liên tiếp TRÊN 30 học sinh THÌ cắt 20% chi phí marketing, tạm dừng quảng cáo Google, tập trung cải thiện chất lượng sản phẩm và chương trình giữ chân. KHÔNG THÌ hạ giá gói cơ bản xuống dưới 199k hoặc giảm phí vượt dưới 3.000đ/bài (giữ ≥ giá sàn 2.229đ).</t>
        </is>
      </c>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5. Muc canh bao tu tinh</t>
        </is>
      </c>
      <c r="B27" s="111" t="inlineStr">
        <is>
          <t>Các mức cảnh báo đã ghi vào bảng Ngày 23: (1) Biên gộp &lt; 55% = NGUY; (2) Chi phí AI tăng &gt; 20% = NGUY; (3) CAC &gt; 1,2 triệu = NGUY; (4) Tiền mặt &lt; 12 tháng hoạt động = CẦN KẾ HOẠCH CẮT GIẢM. Theo dõi hằng tuần bởi Product Manager. Bảng Ngày 23 sẽ cập nhật 4 chỉ số này cùng với dòng tiền thực tế.</t>
        </is>
      </c>
    </row>
  </sheetData>
  <sheetProtection selectLockedCells="0" selectUnlockedCells="0" sheet="1" objects="0" insertRows="1" insertHyperlinks="1" autoFilter="1" scenarios="0" formatColumns="0" deleteColumns="1" insertColumns="1" pivotTables="1" deleteRows="1" formatCells="1" formatRows="0" sort="1"/>
  <mergeCells count="7">
    <mergeCell ref="A20:C20"/>
    <mergeCell ref="A13:C13"/>
    <mergeCell ref="A23:C23"/>
    <mergeCell ref="A14:C14"/>
    <mergeCell ref="A17:C17"/>
    <mergeCell ref="A26:C26"/>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6"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6"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6"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6" t="n"/>
    </row>
    <row r="9" ht="15" customHeight="1" s="112">
      <c r="A9" s="158" t="inlineStr">
        <is>
          <t>3 kịch bản và độ nhạy</t>
        </is>
      </c>
      <c r="B9" s="111" t="n">
        <v>20</v>
      </c>
      <c r="C9" s="115" t="inlineStr">
        <is>
          <t>Kịch bản xấu là cú sốc thật; đọc bảng độ nhạy và chỉ ra biến số nguy hiểm nhất</t>
        </is>
      </c>
      <c r="D9" s="216"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6"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6"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7" t="inlineStr">
        <is>
          <t>Câu đầu chưa có quyết định; người nghe phải đoán nhóm đề xuất gì</t>
        </is>
      </c>
      <c r="C17" s="217" t="inlineStr">
        <is>
          <t>Có quyết định nhưng nói sau phần mở đầu, hoặc thiếu giá bán</t>
        </is>
      </c>
      <c r="D17" s="217" t="inlineStr">
        <is>
          <t>Câu đầu tiên có quyết định, giá bán và 1 lý do</t>
        </is>
      </c>
    </row>
    <row r="18" ht="45.75" customHeight="1" s="112">
      <c r="A18" s="131" t="inlineStr">
        <is>
          <t>Bằng chứng</t>
        </is>
      </c>
      <c r="B18" s="217" t="inlineStr">
        <is>
          <t>Con số không có nguồn, hoặc chỉ có kịch bản cơ sở</t>
        </is>
      </c>
      <c r="C18" s="217" t="inlineStr">
        <is>
          <t>Có số chính và nguồn, nhưng thiếu kịch bản xấu hoặc biến nguy hiểm nhất</t>
        </is>
      </c>
      <c r="D18" s="217" t="inlineStr">
        <is>
          <t>Đủ chi phí mỗi việc, biên lợi nhuận, LTV ÷ CAC, kịch bản xấu; số nào cũng có nguồn hoặc lý do</t>
        </is>
      </c>
    </row>
    <row r="19" ht="45.75" customHeight="1" s="112">
      <c r="A19" s="131" t="inlineStr">
        <is>
          <t>Trả lời phản biện</t>
        </is>
      </c>
      <c r="B19" s="217" t="inlineStr">
        <is>
          <t>Né câu hỏi hoặc trả lời chung chung</t>
        </is>
      </c>
      <c r="C19" s="217" t="inlineStr">
        <is>
          <t>Trả lời đúng ý nhưng không dẫn số</t>
        </is>
      </c>
      <c r="D19" s="217" t="inlineStr">
        <is>
          <t>Trả lời thẳng, dẫn đúng con số trong file</t>
        </is>
      </c>
    </row>
    <row r="20" ht="45.75" customHeight="1" s="112">
      <c r="A20" s="131" t="inlineStr">
        <is>
          <t>Đúng giờ</t>
        </is>
      </c>
      <c r="B20" s="217" t="inlineStr">
        <is>
          <t>Quá 4 phút</t>
        </is>
      </c>
      <c r="C20" s="217" t="inlineStr">
        <is>
          <t>Từ 3 đến 4 phút</t>
        </is>
      </c>
      <c r="D20" s="217"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8" t="n">
        <v>0.1</v>
      </c>
      <c r="C5" s="218" t="n">
        <v>0.5</v>
      </c>
      <c r="D5" s="190" t="inlineStr">
        <is>
          <t>https://developers.openai.com/api/docs/pricing</t>
        </is>
      </c>
      <c r="E5" s="190" t="inlineStr">
        <is>
          <t>Mức Standard, ngữ cảnh ngắn</t>
        </is>
      </c>
    </row>
    <row r="6" ht="15" customHeight="1" s="112">
      <c r="A6" s="190" t="inlineStr">
        <is>
          <t>OpenAI GPT-6 Sol</t>
        </is>
      </c>
      <c r="B6" s="218" t="n">
        <v>2</v>
      </c>
      <c r="C6" s="218" t="n">
        <v>10</v>
      </c>
      <c r="D6" s="190" t="inlineStr">
        <is>
          <t>https://openai.com/index/introducing-gpt-6-sol-and-luna/</t>
        </is>
      </c>
      <c r="E6" s="190" t="inlineStr">
        <is>
          <t>Mức Standard</t>
        </is>
      </c>
    </row>
    <row r="7" ht="15" customHeight="1" s="112">
      <c r="A7" s="190" t="inlineStr">
        <is>
          <t>Anthropic Claude Haiku 4.5</t>
        </is>
      </c>
      <c r="B7" s="218" t="n">
        <v>1</v>
      </c>
      <c r="C7" s="218" t="n">
        <v>5</v>
      </c>
      <c r="D7" s="190" t="inlineStr">
        <is>
          <t>https://platform.claude.com/docs/en/models/haiku-4-5/overview</t>
        </is>
      </c>
      <c r="E7" s="190" t="n"/>
    </row>
    <row r="8" ht="15" customHeight="1" s="112">
      <c r="A8" s="190" t="inlineStr">
        <is>
          <t>Anthropic Claude Sonnet 5.5</t>
        </is>
      </c>
      <c r="B8" s="218" t="n">
        <v>2</v>
      </c>
      <c r="C8" s="218"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19"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19"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19"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19"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7" t="inlineStr">
        <is>
          <t>Tỷ lệ rời bỏ, chi phí có một khách của SME Việt Nam</t>
        </is>
      </c>
      <c r="B19" s="217"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7" t="inlineStr">
        <is>
          <t>LTV ÷ CAC &gt; 3, hoàn vốn chi phí có khách &lt; 12 tháng</t>
        </is>
      </c>
      <c r="B20" s="217" t="inlineStr">
        <is>
          <t>Ngưỡng tham khảo phổ biến trong ngành phần mềm thuê bao; lớp chưa kiểm chứng nguồn sơ cấp. Dùng để đọc kết quả, không phải luật.</t>
        </is>
      </c>
    </row>
    <row r="21" ht="48" customHeight="1" s="112">
      <c r="A21" s="217" t="inlineStr">
        <is>
          <t>Giá sàn gấp 3 lần chi phí mỗi việc; phần chìm ≥ 30% chi phí gọi AI</t>
        </is>
      </c>
      <c r="B21" s="217"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7" t="inlineStr">
        <is>
          <t>Biên lợi nhuận gộp ≥ 60%, dưới 50% là nguy (Ngày 22, slide 8)</t>
        </is>
      </c>
      <c r="B24" s="217" t="inlineStr">
        <is>
          <t>Diễn giả nêu, không kèm nguồn. Ngày 23 (slide 34) dẫn số thực đo của công ty AI chỉ 45–53% — chưa kiểm chứng. Dùng mức tối thiểu tự tính ở trang 5.</t>
        </is>
      </c>
    </row>
    <row r="25" ht="48" customHeight="1" s="112">
      <c r="A25" s="217" t="inlineStr">
        <is>
          <t>Neo giá ở 50–70% lương người được thay (Ngày 22, slide 9)</t>
        </is>
      </c>
      <c r="B25" s="217" t="inlineStr">
        <is>
          <t>Kinh nghiệm diễn giả. Dùng làm phép thử ở trang 2, không phải luật.</t>
        </is>
      </c>
    </row>
    <row r="26" ht="48" customHeight="1" s="112">
      <c r="A26" s="217" t="inlineStr">
        <is>
          <t>Ranh giới bán tự phục vụ dưới 50 USD, bán trực tiếp trên 1.000 USD mỗi tháng (Ngày 22, slide 17–18)</t>
        </is>
      </c>
      <c r="B26" s="217" t="inlineStr">
        <is>
          <t>Ngưỡng của thị trường Mỹ. Ranh giới của nhóm là chi phí có một khách tối đa tự tính ở trang 5.</t>
        </is>
      </c>
    </row>
    <row r="27" ht="48" customHeight="1" s="112">
      <c r="A27" s="217" t="inlineStr">
        <is>
          <t>GitHub Copilot thu 10 USD, chi 80 USD, lỗ 70 USD mỗi người (Ngày 22, slide 3)</t>
        </is>
      </c>
      <c r="B27" s="217" t="inlineStr">
        <is>
          <t>WSJ 10/2023 đưa tin lỗ trung bình khoảng 20 USD/người/tháng; 80 USD là mức của một số người dùng nặng. Theo bản tóm tắt của AI Business, chưa đọc bài gốc WSJ.</t>
        </is>
      </c>
    </row>
    <row r="28" ht="48" customHeight="1" s="112">
      <c r="A28" s="217" t="inlineStr">
        <is>
          <t>Nhãn nguồn [NGÀNH] · [TỰ TÍNH] · [TỰ ĐO] (Ngày 23, slide 11)</t>
        </is>
      </c>
      <c r="B28" s="217"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2026-10-12T16:29:49Z</dcterms:modified>
  <cp:revision>0</cp:revision>
</cp:coreProperties>
</file>